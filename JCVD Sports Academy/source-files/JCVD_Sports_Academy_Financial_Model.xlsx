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Assumptions" sheetId="2" state="visible" r:id="rId4"/>
    <sheet name="P&amp;L (5-Year)" sheetId="3" state="visible" r:id="rId5"/>
    <sheet name="CAPEX &amp; Funding" sheetId="4" state="visible" r:id="rId6"/>
    <sheet name="Cash Flow" sheetId="5" state="visible" r:id="rId7"/>
    <sheet name="Char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<sst xmlns="http://schemas.openxmlformats.org/spreadsheetml/2006/main" count="172" uniqueCount="149">
  <si>
    <t xml:space="preserve">JCVD SPORTS ACADEMY — DUBAI</t>
  </si>
  <si>
    <t xml:space="preserve">Financial Model  ·  5-Year Projection  ·  Confidential  ·  AED</t>
  </si>
  <si>
    <t xml:space="preserve">Year 1 Revenue</t>
  </si>
  <si>
    <t xml:space="preserve">Year 3 Revenue</t>
  </si>
  <si>
    <t xml:space="preserve">Year 5 Revenue</t>
  </si>
  <si>
    <t xml:space="preserve">Year 3 EBITDA</t>
  </si>
  <si>
    <t xml:space="preserve">Breakeven</t>
  </si>
  <si>
    <t xml:space="preserve">AED 16.3M</t>
  </si>
  <si>
    <t xml:space="preserve">AED 49.0M</t>
  </si>
  <si>
    <t xml:space="preserve">AED 85.0M</t>
  </si>
  <si>
    <t xml:space="preserve">AED 20.0M</t>
  </si>
  <si>
    <t xml:space="preserve">Year 2</t>
  </si>
  <si>
    <t xml:space="preserve">JCVD SPORTS ACADEMY — KEY ASSUMPTIONS</t>
  </si>
  <si>
    <t xml:space="preserve">Blue = Input  |  Yellow background = Key assumption requiring review  |  All values in AED unless stated</t>
  </si>
  <si>
    <t xml:space="preserve">ACADEMY — ENROLLMENT ASSUMPTIONS</t>
  </si>
  <si>
    <t xml:space="preserve">Parameter</t>
  </si>
  <si>
    <t xml:space="preserve">Y1</t>
  </si>
  <si>
    <t xml:space="preserve">Y2</t>
  </si>
  <si>
    <t xml:space="preserve">Y3</t>
  </si>
  <si>
    <t xml:space="preserve">Y4</t>
  </si>
  <si>
    <t xml:space="preserve">KG Students (capacity 60)</t>
  </si>
  <si>
    <t xml:space="preserve">Primary Students (capacity 120)</t>
  </si>
  <si>
    <t xml:space="preserve">Secondary Students (capacity 80)</t>
  </si>
  <si>
    <t xml:space="preserve">Total Academy Students</t>
  </si>
  <si>
    <t xml:space="preserve">KG Annual Tuition (AED)</t>
  </si>
  <si>
    <t xml:space="preserve">Primary Annual Tuition (AED)</t>
  </si>
  <si>
    <t xml:space="preserve">Secondary Annual Tuition (AED)</t>
  </si>
  <si>
    <t xml:space="preserve">Residential Fee per student (AED)</t>
  </si>
  <si>
    <t xml:space="preserve">% students residential</t>
  </si>
  <si>
    <t xml:space="preserve">SPORTS CLUB — MEMBERSHIP ASSUMPTIONS</t>
  </si>
  <si>
    <t xml:space="preserve">Monthly members (avg)</t>
  </si>
  <si>
    <t xml:space="preserve">Annual members (avg)</t>
  </si>
  <si>
    <t xml:space="preserve">Day passes per month (avg)</t>
  </si>
  <si>
    <t xml:space="preserve">Monthly fee (AED)</t>
  </si>
  <si>
    <t xml:space="preserve">Annual fee (AED)</t>
  </si>
  <si>
    <t xml:space="preserve">Day pass (AED)</t>
  </si>
  <si>
    <t xml:space="preserve">OTHER ASSUMPTIONS</t>
  </si>
  <si>
    <t xml:space="preserve">Events &amp; Brand revenue (AED)</t>
  </si>
  <si>
    <t xml:space="preserve">Corporate &amp; venue hire (AED)</t>
  </si>
  <si>
    <t xml:space="preserve">Coaching add-on revenue (AED)</t>
  </si>
  <si>
    <t xml:space="preserve">Merchandise (AED)</t>
  </si>
  <si>
    <t xml:space="preserve">Staff cost as % revenue</t>
  </si>
  <si>
    <t xml:space="preserve">Facilities &amp; maintenance (AED)</t>
  </si>
  <si>
    <t xml:space="preserve">Marketing spend (AED)</t>
  </si>
  <si>
    <t xml:space="preserve">JCVD brand fee (AED/yr)</t>
  </si>
  <si>
    <t xml:space="preserve">D&amp;A (AED/yr)</t>
  </si>
  <si>
    <t xml:space="preserve">Tax rate</t>
  </si>
  <si>
    <t xml:space="preserve">PROFIT &amp; LOSS STATEMENT — 5-YEAR PROJECTION (AED)</t>
  </si>
  <si>
    <t xml:space="preserve">Line Item</t>
  </si>
  <si>
    <t xml:space="preserve">Year 1
(AED)</t>
  </si>
  <si>
    <t xml:space="preserve">Year 2
(AED)</t>
  </si>
  <si>
    <t xml:space="preserve">Year 3
(AED)</t>
  </si>
  <si>
    <t xml:space="preserve">Year 4
(AED)</t>
  </si>
  <si>
    <t xml:space="preserve">Year 5
(AED)</t>
  </si>
  <si>
    <t xml:space="preserve">Y1→Y5
Growth</t>
  </si>
  <si>
    <t xml:space="preserve">REVENUE</t>
  </si>
  <si>
    <t xml:space="preserve">    Academy Tuition</t>
  </si>
  <si>
    <t xml:space="preserve">    Residential Fees</t>
  </si>
  <si>
    <t xml:space="preserve">    Sports Club Memberships</t>
  </si>
  <si>
    <t xml:space="preserve">    Coaching &amp; Training Add-ons</t>
  </si>
  <si>
    <t xml:space="preserve">    Events, Brand &amp; Merchandise</t>
  </si>
  <si>
    <t xml:space="preserve">    Corporate &amp; Venue Hire</t>
  </si>
  <si>
    <t xml:space="preserve">TOTAL REVENUE</t>
  </si>
  <si>
    <t xml:space="preserve">COST OF REVENUE</t>
  </si>
  <si>
    <t xml:space="preserve">    Coaching Staff &amp; Trainers</t>
  </si>
  <si>
    <t xml:space="preserve">    Sports Facilities &amp; Equipment Maint.</t>
  </si>
  <si>
    <t xml:space="preserve">    Residential Operations</t>
  </si>
  <si>
    <t xml:space="preserve">TOTAL COST OF REVENUE</t>
  </si>
  <si>
    <t xml:space="preserve">GROSS PROFIT</t>
  </si>
  <si>
    <t xml:space="preserve">Gross Margin %</t>
  </si>
  <si>
    <t xml:space="preserve">OPERATING EXPENSES</t>
  </si>
  <si>
    <t xml:space="preserve">    Academic &amp; Admin Staff</t>
  </si>
  <si>
    <t xml:space="preserve">    Marketing &amp; Brand</t>
  </si>
  <si>
    <t xml:space="preserve">    JCVD Brand Partnership Fee</t>
  </si>
  <si>
    <t xml:space="preserve">    General &amp; Administrative</t>
  </si>
  <si>
    <t xml:space="preserve">    Depreciation &amp; Amortisation</t>
  </si>
  <si>
    <t xml:space="preserve">TOTAL OPEX</t>
  </si>
  <si>
    <t xml:space="preserve">EBIT (Operating Profit)</t>
  </si>
  <si>
    <t xml:space="preserve">EBITDA</t>
  </si>
  <si>
    <t xml:space="preserve">EBITDA Margin %</t>
  </si>
  <si>
    <t xml:space="preserve">    Interest Expense</t>
  </si>
  <si>
    <t xml:space="preserve">EBT (Pre-Tax Profit)</t>
  </si>
  <si>
    <t xml:space="preserve">    Tax (0% UAE)</t>
  </si>
  <si>
    <t xml:space="preserve">NET PROFIT / (LOSS)</t>
  </si>
  <si>
    <t xml:space="preserve">Net Margin %</t>
  </si>
  <si>
    <t xml:space="preserve">CAPEX BUDGET &amp; FUNDING STRUCTURE (AED)</t>
  </si>
  <si>
    <t xml:space="preserve">CAPITAL EXPENDITURE REQUIREMENTS</t>
  </si>
  <si>
    <t xml:space="preserve">Item</t>
  </si>
  <si>
    <t xml:space="preserve">Low Estimate (AED)</t>
  </si>
  <si>
    <t xml:space="preserve">High Estimate (AED)</t>
  </si>
  <si>
    <t xml:space="preserve">Midpoint (AED)</t>
  </si>
  <si>
    <t xml:space="preserve">Land Acquisition / Long-term Lease</t>
  </si>
  <si>
    <t xml:space="preserve">Construction &amp; Fit-Out</t>
  </si>
  <si>
    <t xml:space="preserve">Sports Equipment &amp; Technology</t>
  </si>
  <si>
    <t xml:space="preserve">Furniture, Fixtures &amp; Fittings</t>
  </si>
  <si>
    <t xml:space="preserve">IT Systems &amp; AV/Media</t>
  </si>
  <si>
    <t xml:space="preserve">JCVD Partnership Setup &amp; Licensing</t>
  </si>
  <si>
    <t xml:space="preserve">Pre-Opening Marketing &amp; Recruitment</t>
  </si>
  <si>
    <t xml:space="preserve">Working Capital (Year 1)</t>
  </si>
  <si>
    <t xml:space="preserve">Contingency (10%)</t>
  </si>
  <si>
    <t xml:space="preserve">TOTAL CAPEX</t>
  </si>
  <si>
    <t xml:space="preserve">PROPOSED FUNDING STRUCTURE</t>
  </si>
  <si>
    <t xml:space="preserve">Source</t>
  </si>
  <si>
    <t xml:space="preserve">Amount (AED)</t>
  </si>
  <si>
    <t xml:space="preserve">% of Total</t>
  </si>
  <si>
    <t xml:space="preserve">Notes</t>
  </si>
  <si>
    <t xml:space="preserve">Equity — Partner(s)</t>
  </si>
  <si>
    <t xml:space="preserve">30%</t>
  </si>
  <si>
    <t xml:space="preserve">Founder / partner equity</t>
  </si>
  <si>
    <t xml:space="preserve">Equity — JCVD (in-kind + cash)</t>
  </si>
  <si>
    <t xml:space="preserve">15%</t>
  </si>
  <si>
    <t xml:space="preserve">Brand value + cash contribution</t>
  </si>
  <si>
    <t xml:space="preserve">Bank / Debt Financing</t>
  </si>
  <si>
    <t xml:space="preserve">35%</t>
  </si>
  <si>
    <t xml:space="preserve">UAE commercial bank, 7-yr term</t>
  </si>
  <si>
    <t xml:space="preserve">Government / Free Zone Incentives</t>
  </si>
  <si>
    <t xml:space="preserve">10%</t>
  </si>
  <si>
    <t xml:space="preserve">Dubai Sports Council / Free Zone</t>
  </si>
  <si>
    <t xml:space="preserve">Investor Round (Seed)</t>
  </si>
  <si>
    <t xml:space="preserve">UAE family offices / HNW investors</t>
  </si>
  <si>
    <t xml:space="preserve">TOTAL FUNDING</t>
  </si>
  <si>
    <t xml:space="preserve">CASH FLOW STATEMENT — 5-YEAR PROJECTION (AED)</t>
  </si>
  <si>
    <t xml:space="preserve">Year 1</t>
  </si>
  <si>
    <t xml:space="preserve">Year 3</t>
  </si>
  <si>
    <t xml:space="preserve">Year 4</t>
  </si>
  <si>
    <t xml:space="preserve">Year 5</t>
  </si>
  <si>
    <t xml:space="preserve">OPERATING ACTIVITIES</t>
  </si>
  <si>
    <t xml:space="preserve">Net Profit / (Loss)</t>
  </si>
  <si>
    <t xml:space="preserve">Add: Depreciation &amp; Amortisation</t>
  </si>
  <si>
    <t xml:space="preserve">Changes in Working Capital</t>
  </si>
  <si>
    <t xml:space="preserve">Net Cash from Operations</t>
  </si>
  <si>
    <t xml:space="preserve">INVESTING ACTIVITIES</t>
  </si>
  <si>
    <t xml:space="preserve">Capital Expenditure</t>
  </si>
  <si>
    <t xml:space="preserve">Net Cash from Investing</t>
  </si>
  <si>
    <t xml:space="preserve">FINANCING ACTIVITIES</t>
  </si>
  <si>
    <t xml:space="preserve">Equity Raised</t>
  </si>
  <si>
    <t xml:space="preserve">Debt Drawn</t>
  </si>
  <si>
    <t xml:space="preserve">Debt Repayment</t>
  </si>
  <si>
    <t xml:space="preserve">Net Cash from Financing</t>
  </si>
  <si>
    <t xml:space="preserve">NET CASH MOVEMENT</t>
  </si>
  <si>
    <t xml:space="preserve">Opening Cash Balance</t>
  </si>
  <si>
    <t xml:space="preserve">CLOSING CASH BALANCE</t>
  </si>
  <si>
    <t xml:space="preserve">JCVD SPORTS ACADEMY — KEY FINANCIAL CHARTS</t>
  </si>
  <si>
    <t xml:space="preserve">Membership Growth</t>
  </si>
  <si>
    <t xml:space="preserve">Revenue (AED M)</t>
  </si>
  <si>
    <t xml:space="preserve">Academy Students</t>
  </si>
  <si>
    <t xml:space="preserve">EBITDA (AED M)</t>
  </si>
  <si>
    <t xml:space="preserve">Club Members (Monthly)</t>
  </si>
  <si>
    <t xml:space="preserve">Net Profit (AED M)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</si>
</sst>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0.0%;\(0.0%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Cambria"/>
      <family val="0"/>
      <charset val="1"/>
    </font>
    <font>
      <i val="true"/>
      <sz val="12"/>
      <color rgb="FFC9A84C"/>
      <name val="Calibri"/>
      <family val="0"/>
      <charset val="1"/>
    </font>
    <font>
      <sz val="9"/>
      <color rgb="FF8A9BB5"/>
      <name val="Calibri"/>
      <family val="0"/>
      <charset val="1"/>
    </font>
    <font>
      <b val="true"/>
      <sz val="18"/>
      <color rgb="FFC9A84C"/>
      <name val="Cambria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9"/>
      <color rgb="FF8A9BB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A1628"/>
      <name val="Calibri"/>
      <family val="0"/>
      <charset val="1"/>
    </font>
    <font>
      <sz val="10"/>
      <color rgb="FF2B2B2B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2B2B2B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A1628"/>
        <bgColor rgb="FF132140"/>
      </patternFill>
    </fill>
    <fill>
      <patternFill patternType="solid">
        <fgColor rgb="FF132140"/>
        <bgColor rgb="FF0A1628"/>
      </patternFill>
    </fill>
    <fill>
      <patternFill patternType="solid">
        <fgColor rgb="FF1B4080"/>
        <bgColor rgb="FF132140"/>
      </patternFill>
    </fill>
    <fill>
      <patternFill patternType="solid">
        <fgColor rgb="FFC9A84C"/>
        <bgColor rgb="FF9BBB59"/>
      </patternFill>
    </fill>
    <fill>
      <patternFill patternType="solid">
        <fgColor rgb="FFFFFFFF"/>
        <bgColor rgb="FFF9F9F9"/>
      </patternFill>
    </fill>
    <fill>
      <patternFill patternType="solid">
        <fgColor rgb="FFFFFBE6"/>
        <bgColor rgb="FFF9F9F9"/>
      </patternFill>
    </fill>
    <fill>
      <patternFill patternType="solid">
        <fgColor rgb="FFF4F6FA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4F81BD"/>
      <rgbColor rgb="FFCCCCCC"/>
      <rgbColor rgb="FF878787"/>
      <rgbColor rgb="FF8064A2"/>
      <rgbColor rgb="FFBE4B48"/>
      <rgbColor rgb="FFFFFBE6"/>
      <rgbColor rgb="FFF4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C9A84C"/>
      <rgbColor rgb="FFFF6600"/>
      <rgbColor rgb="FF7D5FA0"/>
      <rgbColor rgb="FF8A9BB5"/>
      <rgbColor rgb="FF132140"/>
      <rgbColor rgb="FF46AAC4"/>
      <rgbColor rgb="FF0A1628"/>
      <rgbColor rgb="FF333300"/>
      <rgbColor rgb="FF993300"/>
      <rgbColor rgb="FFC0504D"/>
      <rgbColor rgb="FF1B4080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EBITDA vs Net Profit (AED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Charts!$B$3:$F$3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Charts!$B$3:$B$6</c:f>
              <c:numCache>
                <c:formatCode>General</c:formatCode>
                <c:ptCount val="4"/>
                <c:pt idx="1">
                  <c:v>16.3</c:v>
                </c:pt>
                <c:pt idx="2">
                  <c:v>1.8</c:v>
                </c:pt>
                <c:pt idx="3">
                  <c:v>-1.8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Charts!$B$3:$F$3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Charts!$C$3:$C$6</c:f>
              <c:numCache>
                <c:formatCode>General</c:formatCode>
                <c:ptCount val="4"/>
                <c:pt idx="1">
                  <c:v>31.2</c:v>
                </c:pt>
                <c:pt idx="2">
                  <c:v>9.2</c:v>
                </c:pt>
                <c:pt idx="3">
                  <c:v>3.2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Charts!$B$3:$F$3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Charts!$D$3:$D$6</c:f>
              <c:numCache>
                <c:formatCode>General</c:formatCode>
                <c:ptCount val="4"/>
                <c:pt idx="1">
                  <c:v>49</c:v>
                </c:pt>
                <c:pt idx="2">
                  <c:v>20</c:v>
                </c:pt>
                <c:pt idx="3">
                  <c:v>9.5</c:v>
                </c:pt>
              </c:numCache>
            </c:numRef>
          </c:val>
        </c:ser>
        <c:ser>
          <c:idx val="3"/>
          <c:order val="3"/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Charts!$B$3:$F$3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Charts!$E$3:$E$6</c:f>
              <c:numCache>
                <c:formatCode>General</c:formatCode>
                <c:ptCount val="4"/>
                <c:pt idx="1">
                  <c:v>67</c:v>
                </c:pt>
                <c:pt idx="2">
                  <c:v>31</c:v>
                </c:pt>
                <c:pt idx="3">
                  <c:v>16.5</c:v>
                </c:pt>
              </c:numCache>
            </c:numRef>
          </c:val>
        </c:ser>
        <c:ser>
          <c:idx val="4"/>
          <c:order val="4"/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Charts!$B$3:$F$3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Charts!$F$3:$F$6</c:f>
              <c:numCache>
                <c:formatCode>General</c:formatCode>
                <c:ptCount val="4"/>
                <c:pt idx="1">
                  <c:v>85</c:v>
                </c:pt>
                <c:pt idx="2">
                  <c:v>43</c:v>
                </c:pt>
                <c:pt idx="3">
                  <c:v>22</c:v>
                </c:pt>
              </c:numCache>
            </c:numRef>
          </c:val>
        </c:ser>
        <c:gapWidth val="150"/>
        <c:overlap val="0"/>
        <c:axId val="17593362"/>
        <c:axId val="98891050"/>
      </c:barChart>
      <c:catAx>
        <c:axId val="175933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91050"/>
        <c:crosses val="autoZero"/>
        <c:auto val="1"/>
        <c:lblAlgn val="ctr"/>
        <c:lblOffset val="100"/>
        <c:noMultiLvlLbl val="0"/>
      </c:catAx>
      <c:valAx>
        <c:axId val="988910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AED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933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Student &amp; Member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Charts!$I$3:$I$5</c:f>
              <c:numCache>
                <c:formatCode>General</c:formatCode>
                <c:ptCount val="3"/>
                <c:pt idx="1">
                  <c:v>80</c:v>
                </c:pt>
                <c:pt idx="2">
                  <c:v>200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Charts!$J$3:$J$5</c:f>
              <c:numCache>
                <c:formatCode>General</c:formatCode>
                <c:ptCount val="3"/>
                <c:pt idx="1">
                  <c:v>145</c:v>
                </c:pt>
                <c:pt idx="2">
                  <c:v>450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Charts!$K$3:$K$5</c:f>
              <c:numCache>
                <c:formatCode>General</c:formatCode>
                <c:ptCount val="3"/>
                <c:pt idx="1">
                  <c:v>215</c:v>
                </c:pt>
                <c:pt idx="2">
                  <c:v>750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Charts!$L$3:$L$5</c:f>
              <c:numCache>
                <c:formatCode>General</c:formatCode>
                <c:ptCount val="3"/>
                <c:pt idx="1">
                  <c:v>260</c:v>
                </c:pt>
                <c:pt idx="2">
                  <c:v>1000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46aac4"/>
            </a:solidFill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Charts!$M$3:$M$5</c:f>
              <c:numCache>
                <c:formatCode>General</c:formatCode>
                <c:ptCount val="3"/>
                <c:pt idx="1">
                  <c:v>260</c:v>
                </c:pt>
                <c:pt idx="2">
                  <c:v>1200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634695"/>
        <c:axId val="16557522"/>
      </c:lineChart>
      <c:catAx>
        <c:axId val="336346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57522"/>
        <c:crosses val="autoZero"/>
        <c:auto val="1"/>
        <c:lblAlgn val="ctr"/>
        <c:lblOffset val="100"/>
        <c:noMultiLvlLbl val="0"/>
      </c:catAx>
      <c:valAx>
        <c:axId val="16557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346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16560</xdr:rowOff>
    </xdr:from>
    <xdr:to>
      <xdr:col>5</xdr:col>
      <xdr:colOff>981720</xdr:colOff>
      <xdr:row>27</xdr:row>
      <xdr:rowOff>145080</xdr:rowOff>
    </xdr:to>
    <xdr:graphicFrame>
      <xdr:nvGraphicFramePr>
        <xdr:cNvPr id="0" name="Chart 1"/>
        <xdr:cNvGraphicFramePr/>
      </xdr:nvGraphicFramePr>
      <xdr:xfrm>
        <a:off x="0" y="13334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5</xdr:row>
      <xdr:rowOff>16560</xdr:rowOff>
    </xdr:from>
    <xdr:to>
      <xdr:col>12</xdr:col>
      <xdr:colOff>825840</xdr:colOff>
      <xdr:row>23</xdr:row>
      <xdr:rowOff>187200</xdr:rowOff>
    </xdr:to>
    <xdr:graphicFrame>
      <xdr:nvGraphicFramePr>
        <xdr:cNvPr id="1" name="Chart 2"/>
        <xdr:cNvGraphicFramePr/>
      </xdr:nvGraphicFramePr>
      <xdr:xfrm>
        <a:off x="7471440" y="13334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4"/>
    <col collapsed="false" customWidth="true" hidden="false" outlineLevel="0" max="7" min="7" style="0" width="18"/>
    <col collapsed="false" customWidth="true" hidden="false" outlineLevel="0" max="8" min="8" style="0" width="4"/>
    <col collapsed="false" customWidth="true" hidden="false" outlineLevel="0" max="9" min="9" style="0" width="18"/>
    <col collapsed="false" customWidth="true" hidden="false" outlineLevel="0" max="10" min="10" style="0" width="4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36" hidden="false" customHeight="true" outlineLevel="0" collapsed="false">
      <c r="A5" s="4" t="s">
        <v>2</v>
      </c>
      <c r="B5" s="4"/>
      <c r="C5" s="4" t="s">
        <v>3</v>
      </c>
      <c r="D5" s="4"/>
      <c r="E5" s="4" t="s">
        <v>4</v>
      </c>
      <c r="F5" s="4"/>
      <c r="G5" s="4" t="s">
        <v>5</v>
      </c>
      <c r="H5" s="4"/>
      <c r="I5" s="4" t="s">
        <v>6</v>
      </c>
      <c r="J5" s="4"/>
    </row>
    <row r="6" customFormat="false" ht="18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36" hidden="false" customHeight="true" outlineLevel="0" collapsed="false">
      <c r="A7" s="5" t="s">
        <v>7</v>
      </c>
      <c r="B7" s="5"/>
      <c r="C7" s="5" t="s">
        <v>8</v>
      </c>
      <c r="D7" s="5"/>
      <c r="E7" s="5" t="s">
        <v>9</v>
      </c>
      <c r="F7" s="5"/>
      <c r="G7" s="5" t="s">
        <v>10</v>
      </c>
      <c r="H7" s="5"/>
      <c r="I7" s="5" t="s">
        <v>11</v>
      </c>
      <c r="J7" s="5"/>
    </row>
    <row r="8" customFormat="false" ht="21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</row>
  </sheetData>
  <mergeCells count="27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6"/>
  </cols>
  <sheetData>
    <row r="1" customFormat="false" ht="39.75" hidden="false" customHeight="true" outlineLevel="0" collapsed="false">
      <c r="A1" s="6" t="s">
        <v>12</v>
      </c>
      <c r="B1" s="6"/>
      <c r="C1" s="6"/>
      <c r="D1" s="6"/>
      <c r="E1" s="6"/>
    </row>
    <row r="2" customFormat="false" ht="15" hidden="false" customHeight="true" outlineLevel="0" collapsed="false">
      <c r="A2" s="7" t="s">
        <v>13</v>
      </c>
      <c r="B2" s="7"/>
      <c r="C2" s="7"/>
      <c r="D2" s="7"/>
      <c r="E2" s="7"/>
    </row>
    <row r="4" customFormat="false" ht="15" hidden="false" customHeight="true" outlineLevel="0" collapsed="false">
      <c r="A4" s="8" t="s">
        <v>14</v>
      </c>
      <c r="B4" s="8"/>
      <c r="C4" s="8"/>
      <c r="D4" s="8"/>
      <c r="E4" s="8"/>
    </row>
    <row r="5" customFormat="false" ht="15" hidden="false" customHeight="false" outlineLevel="0" collapsed="false">
      <c r="A5" s="9" t="s">
        <v>15</v>
      </c>
      <c r="B5" s="9" t="s">
        <v>16</v>
      </c>
      <c r="C5" s="9" t="s">
        <v>17</v>
      </c>
      <c r="D5" s="9" t="s">
        <v>18</v>
      </c>
      <c r="E5" s="9" t="s">
        <v>19</v>
      </c>
    </row>
    <row r="6" customFormat="false" ht="15" hidden="false" customHeight="false" outlineLevel="0" collapsed="false">
      <c r="A6" s="10" t="s">
        <v>20</v>
      </c>
      <c r="B6" s="11" t="n">
        <v>20</v>
      </c>
      <c r="C6" s="11" t="n">
        <v>35</v>
      </c>
      <c r="D6" s="11" t="n">
        <v>50</v>
      </c>
      <c r="E6" s="11" t="n">
        <v>60</v>
      </c>
    </row>
    <row r="7" customFormat="false" ht="15" hidden="false" customHeight="false" outlineLevel="0" collapsed="false">
      <c r="A7" s="12" t="s">
        <v>21</v>
      </c>
      <c r="B7" s="11" t="n">
        <v>40</v>
      </c>
      <c r="C7" s="11" t="n">
        <v>70</v>
      </c>
      <c r="D7" s="11" t="n">
        <v>100</v>
      </c>
      <c r="E7" s="11" t="n">
        <v>120</v>
      </c>
    </row>
    <row r="8" customFormat="false" ht="15" hidden="false" customHeight="false" outlineLevel="0" collapsed="false">
      <c r="A8" s="10" t="s">
        <v>22</v>
      </c>
      <c r="B8" s="11" t="n">
        <v>20</v>
      </c>
      <c r="C8" s="11" t="n">
        <v>40</v>
      </c>
      <c r="D8" s="11" t="n">
        <v>65</v>
      </c>
      <c r="E8" s="11" t="n">
        <v>80</v>
      </c>
    </row>
    <row r="9" customFormat="false" ht="15" hidden="false" customHeight="false" outlineLevel="0" collapsed="false">
      <c r="A9" s="12" t="s">
        <v>23</v>
      </c>
      <c r="B9" s="13" t="n">
        <f aca="false">B6+B7+B8</f>
        <v>80</v>
      </c>
      <c r="C9" s="13" t="n">
        <f aca="false">C6+C7+C8</f>
        <v>145</v>
      </c>
      <c r="D9" s="13" t="n">
        <f aca="false">D6+D7+D8</f>
        <v>215</v>
      </c>
      <c r="E9" s="13" t="n">
        <f aca="false">E6+E7+E8</f>
        <v>260</v>
      </c>
    </row>
    <row r="10" customFormat="false" ht="15" hidden="false" customHeight="false" outlineLevel="0" collapsed="false">
      <c r="A10" s="10" t="s">
        <v>24</v>
      </c>
      <c r="B10" s="11" t="n">
        <v>85000</v>
      </c>
      <c r="C10" s="11" t="n">
        <v>87550</v>
      </c>
      <c r="D10" s="11" t="n">
        <v>90177</v>
      </c>
      <c r="E10" s="11" t="n">
        <v>92882</v>
      </c>
    </row>
    <row r="11" customFormat="false" ht="15" hidden="false" customHeight="false" outlineLevel="0" collapsed="false">
      <c r="A11" s="12" t="s">
        <v>25</v>
      </c>
      <c r="B11" s="11" t="n">
        <v>110000</v>
      </c>
      <c r="C11" s="11" t="n">
        <v>113300</v>
      </c>
      <c r="D11" s="11" t="n">
        <v>116699</v>
      </c>
      <c r="E11" s="11" t="n">
        <v>120200</v>
      </c>
    </row>
    <row r="12" customFormat="false" ht="15" hidden="false" customHeight="false" outlineLevel="0" collapsed="false">
      <c r="A12" s="10" t="s">
        <v>26</v>
      </c>
      <c r="B12" s="11" t="n">
        <v>150000</v>
      </c>
      <c r="C12" s="11" t="n">
        <v>154500</v>
      </c>
      <c r="D12" s="11" t="n">
        <v>159135</v>
      </c>
      <c r="E12" s="11" t="n">
        <v>163909</v>
      </c>
    </row>
    <row r="13" customFormat="false" ht="15" hidden="false" customHeight="false" outlineLevel="0" collapsed="false">
      <c r="A13" s="12" t="s">
        <v>27</v>
      </c>
      <c r="B13" s="11" t="n">
        <v>40000</v>
      </c>
      <c r="C13" s="11" t="n">
        <v>41200</v>
      </c>
      <c r="D13" s="11" t="n">
        <v>42436</v>
      </c>
      <c r="E13" s="11" t="n">
        <v>43709</v>
      </c>
    </row>
    <row r="14" customFormat="false" ht="15" hidden="false" customHeight="false" outlineLevel="0" collapsed="false">
      <c r="A14" s="10" t="s">
        <v>28</v>
      </c>
      <c r="B14" s="14" t="n">
        <v>0.6</v>
      </c>
      <c r="C14" s="14" t="n">
        <v>0.65</v>
      </c>
      <c r="D14" s="14" t="n">
        <v>0.7</v>
      </c>
      <c r="E14" s="14" t="n">
        <v>0.75</v>
      </c>
    </row>
    <row r="16" customFormat="false" ht="15" hidden="false" customHeight="true" outlineLevel="0" collapsed="false">
      <c r="A16" s="8" t="s">
        <v>29</v>
      </c>
      <c r="B16" s="8"/>
      <c r="C16" s="8"/>
      <c r="D16" s="8"/>
      <c r="E16" s="8"/>
    </row>
    <row r="17" customFormat="false" ht="15" hidden="false" customHeight="false" outlineLevel="0" collapsed="false">
      <c r="A17" s="9" t="s">
        <v>15</v>
      </c>
      <c r="B17" s="9" t="s">
        <v>16</v>
      </c>
      <c r="C17" s="9" t="s">
        <v>17</v>
      </c>
      <c r="D17" s="9" t="s">
        <v>18</v>
      </c>
      <c r="E17" s="9" t="s">
        <v>19</v>
      </c>
    </row>
    <row r="18" customFormat="false" ht="15" hidden="false" customHeight="false" outlineLevel="0" collapsed="false">
      <c r="A18" s="10" t="s">
        <v>30</v>
      </c>
      <c r="B18" s="11" t="n">
        <v>200</v>
      </c>
      <c r="C18" s="11" t="n">
        <v>450</v>
      </c>
      <c r="D18" s="11" t="n">
        <v>750</v>
      </c>
      <c r="E18" s="11" t="n">
        <v>1000</v>
      </c>
    </row>
    <row r="19" customFormat="false" ht="15" hidden="false" customHeight="false" outlineLevel="0" collapsed="false">
      <c r="A19" s="12" t="s">
        <v>31</v>
      </c>
      <c r="B19" s="11" t="n">
        <v>80</v>
      </c>
      <c r="C19" s="11" t="n">
        <v>180</v>
      </c>
      <c r="D19" s="11" t="n">
        <v>350</v>
      </c>
      <c r="E19" s="11" t="n">
        <v>500</v>
      </c>
    </row>
    <row r="20" customFormat="false" ht="15" hidden="false" customHeight="false" outlineLevel="0" collapsed="false">
      <c r="A20" s="10" t="s">
        <v>32</v>
      </c>
      <c r="B20" s="11" t="n">
        <v>150</v>
      </c>
      <c r="C20" s="11" t="n">
        <v>300</v>
      </c>
      <c r="D20" s="11" t="n">
        <v>500</v>
      </c>
      <c r="E20" s="11" t="n">
        <v>700</v>
      </c>
    </row>
    <row r="21" customFormat="false" ht="15" hidden="false" customHeight="false" outlineLevel="0" collapsed="false">
      <c r="A21" s="12" t="s">
        <v>33</v>
      </c>
      <c r="B21" s="11" t="n">
        <v>899</v>
      </c>
      <c r="C21" s="11" t="n">
        <v>926</v>
      </c>
      <c r="D21" s="11" t="n">
        <v>954</v>
      </c>
      <c r="E21" s="11" t="n">
        <v>982</v>
      </c>
    </row>
    <row r="22" customFormat="false" ht="15" hidden="false" customHeight="false" outlineLevel="0" collapsed="false">
      <c r="A22" s="10" t="s">
        <v>34</v>
      </c>
      <c r="B22" s="11" t="n">
        <v>7500</v>
      </c>
      <c r="C22" s="11" t="n">
        <v>7725</v>
      </c>
      <c r="D22" s="11" t="n">
        <v>7957</v>
      </c>
      <c r="E22" s="11" t="n">
        <v>8196</v>
      </c>
    </row>
    <row r="23" customFormat="false" ht="15" hidden="false" customHeight="false" outlineLevel="0" collapsed="false">
      <c r="A23" s="12" t="s">
        <v>35</v>
      </c>
      <c r="B23" s="11" t="n">
        <v>150</v>
      </c>
      <c r="C23" s="11" t="n">
        <v>155</v>
      </c>
      <c r="D23" s="11" t="n">
        <v>160</v>
      </c>
      <c r="E23" s="11" t="n">
        <v>165</v>
      </c>
    </row>
    <row r="25" customFormat="false" ht="15" hidden="false" customHeight="true" outlineLevel="0" collapsed="false">
      <c r="A25" s="8" t="s">
        <v>36</v>
      </c>
      <c r="B25" s="8"/>
      <c r="C25" s="8"/>
      <c r="D25" s="8"/>
      <c r="E25" s="8"/>
    </row>
    <row r="26" customFormat="false" ht="15" hidden="false" customHeight="false" outlineLevel="0" collapsed="false">
      <c r="A26" s="9" t="s">
        <v>15</v>
      </c>
      <c r="B26" s="9" t="s">
        <v>16</v>
      </c>
      <c r="C26" s="9" t="s">
        <v>17</v>
      </c>
      <c r="D26" s="9" t="s">
        <v>18</v>
      </c>
      <c r="E26" s="9" t="s">
        <v>19</v>
      </c>
    </row>
    <row r="27" customFormat="false" ht="15" hidden="false" customHeight="false" outlineLevel="0" collapsed="false">
      <c r="A27" s="12" t="s">
        <v>37</v>
      </c>
      <c r="B27" s="11" t="n">
        <v>800000</v>
      </c>
      <c r="C27" s="11" t="n">
        <v>2000000</v>
      </c>
      <c r="D27" s="11" t="n">
        <v>4500000</v>
      </c>
      <c r="E27" s="11" t="n">
        <v>6000000</v>
      </c>
    </row>
    <row r="28" customFormat="false" ht="15" hidden="false" customHeight="false" outlineLevel="0" collapsed="false">
      <c r="A28" s="10" t="s">
        <v>38</v>
      </c>
      <c r="B28" s="11" t="n">
        <v>500000</v>
      </c>
      <c r="C28" s="11" t="n">
        <v>1200000</v>
      </c>
      <c r="D28" s="11" t="n">
        <v>2500000</v>
      </c>
      <c r="E28" s="11" t="n">
        <v>3500000</v>
      </c>
    </row>
    <row r="29" customFormat="false" ht="15" hidden="false" customHeight="false" outlineLevel="0" collapsed="false">
      <c r="A29" s="12" t="s">
        <v>39</v>
      </c>
      <c r="B29" s="11" t="n">
        <v>1000000</v>
      </c>
      <c r="C29" s="11" t="n">
        <v>2500000</v>
      </c>
      <c r="D29" s="11" t="n">
        <v>4000000</v>
      </c>
      <c r="E29" s="11" t="n">
        <v>5500000</v>
      </c>
    </row>
    <row r="30" customFormat="false" ht="15" hidden="false" customHeight="false" outlineLevel="0" collapsed="false">
      <c r="A30" s="10" t="s">
        <v>40</v>
      </c>
      <c r="B30" s="11" t="n">
        <v>200000</v>
      </c>
      <c r="C30" s="11" t="n">
        <v>500000</v>
      </c>
      <c r="D30" s="11" t="n">
        <v>1000000</v>
      </c>
      <c r="E30" s="11" t="n">
        <v>1500000</v>
      </c>
    </row>
    <row r="31" customFormat="false" ht="15" hidden="false" customHeight="false" outlineLevel="0" collapsed="false">
      <c r="A31" s="12" t="s">
        <v>41</v>
      </c>
      <c r="B31" s="14" t="n">
        <v>0.35</v>
      </c>
      <c r="C31" s="14" t="n">
        <v>0.33</v>
      </c>
      <c r="D31" s="14" t="n">
        <v>0.3</v>
      </c>
      <c r="E31" s="14" t="n">
        <v>0.28</v>
      </c>
    </row>
    <row r="32" customFormat="false" ht="15" hidden="false" customHeight="false" outlineLevel="0" collapsed="false">
      <c r="A32" s="10" t="s">
        <v>42</v>
      </c>
      <c r="B32" s="11" t="n">
        <v>3000000</v>
      </c>
      <c r="C32" s="11" t="n">
        <v>3500000</v>
      </c>
      <c r="D32" s="11" t="n">
        <v>4000000</v>
      </c>
      <c r="E32" s="11" t="n">
        <v>4500000</v>
      </c>
    </row>
    <row r="33" customFormat="false" ht="15" hidden="false" customHeight="false" outlineLevel="0" collapsed="false">
      <c r="A33" s="12" t="s">
        <v>43</v>
      </c>
      <c r="B33" s="11" t="n">
        <v>2000000</v>
      </c>
      <c r="C33" s="11" t="n">
        <v>1800000</v>
      </c>
      <c r="D33" s="11" t="n">
        <v>1500000</v>
      </c>
      <c r="E33" s="11" t="n">
        <v>1200000</v>
      </c>
    </row>
    <row r="34" customFormat="false" ht="15" hidden="false" customHeight="false" outlineLevel="0" collapsed="false">
      <c r="A34" s="10" t="s">
        <v>44</v>
      </c>
      <c r="B34" s="11" t="n">
        <v>1500000</v>
      </c>
      <c r="C34" s="11" t="n">
        <v>1500000</v>
      </c>
      <c r="D34" s="11" t="n">
        <v>2000000</v>
      </c>
      <c r="E34" s="11" t="n">
        <v>2000000</v>
      </c>
    </row>
    <row r="35" customFormat="false" ht="15" hidden="false" customHeight="false" outlineLevel="0" collapsed="false">
      <c r="A35" s="12" t="s">
        <v>45</v>
      </c>
      <c r="B35" s="11" t="n">
        <v>4000000</v>
      </c>
      <c r="C35" s="11" t="n">
        <v>4000000</v>
      </c>
      <c r="D35" s="11" t="n">
        <v>4000000</v>
      </c>
      <c r="E35" s="11" t="n">
        <v>4000000</v>
      </c>
    </row>
    <row r="36" customFormat="false" ht="15" hidden="false" customHeight="false" outlineLevel="0" collapsed="false">
      <c r="A36" s="10" t="s">
        <v>46</v>
      </c>
      <c r="B36" s="14" t="n">
        <v>0</v>
      </c>
      <c r="C36" s="14" t="n">
        <v>0</v>
      </c>
      <c r="D36" s="14" t="n">
        <v>0</v>
      </c>
      <c r="E36" s="14" t="n">
        <v>0</v>
      </c>
    </row>
  </sheetData>
  <mergeCells count="5">
    <mergeCell ref="A1:E1"/>
    <mergeCell ref="A2:E2"/>
    <mergeCell ref="A4:E4"/>
    <mergeCell ref="A16:E16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18"/>
    <col collapsed="false" customWidth="true" hidden="false" outlineLevel="0" max="7" min="7" style="0" width="14"/>
  </cols>
  <sheetData>
    <row r="1" customFormat="false" ht="37.5" hidden="false" customHeight="true" outlineLevel="0" collapsed="false">
      <c r="A1" s="15" t="s">
        <v>47</v>
      </c>
      <c r="B1" s="15"/>
      <c r="C1" s="15"/>
      <c r="D1" s="15"/>
      <c r="E1" s="15"/>
      <c r="F1" s="15"/>
      <c r="G1" s="15"/>
    </row>
    <row r="2" customFormat="false" ht="31.5" hidden="false" customHeight="true" outlineLevel="0" collapsed="false">
      <c r="A2" s="16" t="s">
        <v>48</v>
      </c>
      <c r="B2" s="9" t="s">
        <v>49</v>
      </c>
      <c r="C2" s="9" t="s">
        <v>50</v>
      </c>
      <c r="D2" s="9" t="s">
        <v>51</v>
      </c>
      <c r="E2" s="9" t="s">
        <v>52</v>
      </c>
      <c r="F2" s="9" t="s">
        <v>53</v>
      </c>
      <c r="G2" s="9" t="s">
        <v>54</v>
      </c>
    </row>
    <row r="3" customFormat="false" ht="15" hidden="false" customHeight="false" outlineLevel="0" collapsed="false">
      <c r="A3" s="17" t="s">
        <v>55</v>
      </c>
      <c r="B3" s="18"/>
      <c r="C3" s="18"/>
      <c r="D3" s="18"/>
      <c r="E3" s="18"/>
      <c r="F3" s="18"/>
      <c r="G3" s="19"/>
    </row>
    <row r="4" customFormat="false" ht="15" hidden="false" customHeight="false" outlineLevel="0" collapsed="false">
      <c r="A4" s="10" t="s">
        <v>56</v>
      </c>
      <c r="B4" s="11" t="n">
        <v>8500000</v>
      </c>
      <c r="C4" s="11" t="n">
        <v>14000000</v>
      </c>
      <c r="D4" s="11" t="n">
        <v>20000000</v>
      </c>
      <c r="E4" s="11" t="n">
        <v>26000000</v>
      </c>
      <c r="F4" s="11" t="n">
        <v>32000000</v>
      </c>
      <c r="G4" s="20" t="n">
        <f aca="false">IF(OR(B4=0,B4&lt;0),"-",(F4-B4)/B4)</f>
        <v>2.76470588235294</v>
      </c>
    </row>
    <row r="5" customFormat="false" ht="15" hidden="false" customHeight="false" outlineLevel="0" collapsed="false">
      <c r="A5" s="12" t="s">
        <v>57</v>
      </c>
      <c r="B5" s="11" t="n">
        <v>2000000</v>
      </c>
      <c r="C5" s="11" t="n">
        <v>4500000</v>
      </c>
      <c r="D5" s="11" t="n">
        <v>7000000</v>
      </c>
      <c r="E5" s="11" t="n">
        <v>9500000</v>
      </c>
      <c r="F5" s="11" t="n">
        <v>12000000</v>
      </c>
      <c r="G5" s="21" t="n">
        <f aca="false">IF(OR(B5=0,B5&lt;0),"-",(F5-B5)/B5)</f>
        <v>5</v>
      </c>
    </row>
    <row r="6" customFormat="false" ht="15" hidden="false" customHeight="false" outlineLevel="0" collapsed="false">
      <c r="A6" s="10" t="s">
        <v>58</v>
      </c>
      <c r="B6" s="11" t="n">
        <v>3500000</v>
      </c>
      <c r="C6" s="11" t="n">
        <v>7000000</v>
      </c>
      <c r="D6" s="11" t="n">
        <v>11000000</v>
      </c>
      <c r="E6" s="11" t="n">
        <v>15000000</v>
      </c>
      <c r="F6" s="11" t="n">
        <v>19000000</v>
      </c>
      <c r="G6" s="20" t="n">
        <f aca="false">IF(OR(B6=0,B6&lt;0),"-",(F6-B6)/B6)</f>
        <v>4.42857142857143</v>
      </c>
    </row>
    <row r="7" customFormat="false" ht="15" hidden="false" customHeight="false" outlineLevel="0" collapsed="false">
      <c r="A7" s="12" t="s">
        <v>59</v>
      </c>
      <c r="B7" s="11" t="n">
        <v>1000000</v>
      </c>
      <c r="C7" s="11" t="n">
        <v>2500000</v>
      </c>
      <c r="D7" s="11" t="n">
        <v>4000000</v>
      </c>
      <c r="E7" s="11" t="n">
        <v>5500000</v>
      </c>
      <c r="F7" s="11" t="n">
        <v>7000000</v>
      </c>
      <c r="G7" s="21" t="n">
        <f aca="false">IF(OR(B7=0,B7&lt;0),"-",(F7-B7)/B7)</f>
        <v>6</v>
      </c>
    </row>
    <row r="8" customFormat="false" ht="15" hidden="false" customHeight="false" outlineLevel="0" collapsed="false">
      <c r="A8" s="10" t="s">
        <v>60</v>
      </c>
      <c r="B8" s="11" t="n">
        <v>1000000</v>
      </c>
      <c r="C8" s="11" t="n">
        <v>2500000</v>
      </c>
      <c r="D8" s="11" t="n">
        <v>5500000</v>
      </c>
      <c r="E8" s="11" t="n">
        <v>7500000</v>
      </c>
      <c r="F8" s="11" t="n">
        <v>9000000</v>
      </c>
      <c r="G8" s="20" t="n">
        <f aca="false">IF(OR(B8=0,B8&lt;0),"-",(F8-B8)/B8)</f>
        <v>8</v>
      </c>
    </row>
    <row r="9" customFormat="false" ht="15" hidden="false" customHeight="false" outlineLevel="0" collapsed="false">
      <c r="A9" s="12" t="s">
        <v>61</v>
      </c>
      <c r="B9" s="11" t="n">
        <v>500000</v>
      </c>
      <c r="C9" s="11" t="n">
        <v>1200000</v>
      </c>
      <c r="D9" s="11" t="n">
        <v>2500000</v>
      </c>
      <c r="E9" s="11" t="n">
        <v>3500000</v>
      </c>
      <c r="F9" s="11" t="n">
        <v>5000000</v>
      </c>
      <c r="G9" s="21" t="n">
        <f aca="false">IF(OR(B9=0,B9&lt;0),"-",(F9-B9)/B9)</f>
        <v>9</v>
      </c>
    </row>
    <row r="10" customFormat="false" ht="15" hidden="false" customHeight="false" outlineLevel="0" collapsed="false">
      <c r="A10" s="22" t="s">
        <v>62</v>
      </c>
      <c r="B10" s="23" t="n">
        <f aca="false">SUM(B4:B9)</f>
        <v>16500000</v>
      </c>
      <c r="C10" s="23" t="n">
        <f aca="false">SUM(C4:C9)</f>
        <v>31700000</v>
      </c>
      <c r="D10" s="23" t="n">
        <f aca="false">SUM(D4:D9)</f>
        <v>50000000</v>
      </c>
      <c r="E10" s="23" t="n">
        <f aca="false">SUM(E4:E9)</f>
        <v>67000000</v>
      </c>
      <c r="F10" s="23" t="n">
        <f aca="false">SUM(F4:F9)</f>
        <v>84000000</v>
      </c>
      <c r="G10" s="20" t="n">
        <f aca="false">IF(OR(B10=0,B10&lt;0),"-",(F10-B10)/B10)</f>
        <v>4.09090909090909</v>
      </c>
    </row>
    <row r="12" customFormat="false" ht="15" hidden="false" customHeight="false" outlineLevel="0" collapsed="false">
      <c r="A12" s="17" t="s">
        <v>63</v>
      </c>
      <c r="B12" s="18"/>
      <c r="C12" s="18"/>
      <c r="D12" s="18"/>
      <c r="E12" s="18"/>
      <c r="F12" s="18"/>
      <c r="G12" s="19"/>
    </row>
    <row r="13" customFormat="false" ht="15" hidden="false" customHeight="false" outlineLevel="0" collapsed="false">
      <c r="A13" s="12" t="s">
        <v>64</v>
      </c>
      <c r="B13" s="11" t="n">
        <v>4500000</v>
      </c>
      <c r="C13" s="11" t="n">
        <v>6500000</v>
      </c>
      <c r="D13" s="11" t="n">
        <v>8500000</v>
      </c>
      <c r="E13" s="11" t="n">
        <v>10500000</v>
      </c>
      <c r="F13" s="11" t="n">
        <v>12500000</v>
      </c>
      <c r="G13" s="21" t="n">
        <f aca="false">IF(OR(B13=0,B13&lt;0),"-",(F13-B13)/B13)</f>
        <v>1.77777777777778</v>
      </c>
    </row>
    <row r="14" customFormat="false" ht="15" hidden="false" customHeight="false" outlineLevel="0" collapsed="false">
      <c r="A14" s="10" t="s">
        <v>65</v>
      </c>
      <c r="B14" s="11" t="n">
        <v>1500000</v>
      </c>
      <c r="C14" s="11" t="n">
        <v>1800000</v>
      </c>
      <c r="D14" s="11" t="n">
        <v>2000000</v>
      </c>
      <c r="E14" s="11" t="n">
        <v>2200000</v>
      </c>
      <c r="F14" s="11" t="n">
        <v>2400000</v>
      </c>
      <c r="G14" s="20" t="n">
        <f aca="false">IF(OR(B14=0,B14&lt;0),"-",(F14-B14)/B14)</f>
        <v>0.6</v>
      </c>
    </row>
    <row r="15" customFormat="false" ht="15" hidden="false" customHeight="false" outlineLevel="0" collapsed="false">
      <c r="A15" s="12" t="s">
        <v>66</v>
      </c>
      <c r="B15" s="11" t="n">
        <v>800000</v>
      </c>
      <c r="C15" s="11" t="n">
        <v>1500000</v>
      </c>
      <c r="D15" s="11" t="n">
        <v>2200000</v>
      </c>
      <c r="E15" s="11" t="n">
        <v>2900000</v>
      </c>
      <c r="F15" s="11" t="n">
        <v>3600000</v>
      </c>
      <c r="G15" s="21" t="n">
        <f aca="false">IF(OR(B15=0,B15&lt;0),"-",(F15-B15)/B15)</f>
        <v>3.5</v>
      </c>
    </row>
    <row r="16" customFormat="false" ht="15" hidden="false" customHeight="false" outlineLevel="0" collapsed="false">
      <c r="A16" s="22" t="s">
        <v>67</v>
      </c>
      <c r="B16" s="23" t="n">
        <f aca="false">SUM(B13:B15)</f>
        <v>6800000</v>
      </c>
      <c r="C16" s="23" t="n">
        <f aca="false">SUM(C13:C15)</f>
        <v>9800000</v>
      </c>
      <c r="D16" s="23" t="n">
        <f aca="false">SUM(D13:D15)</f>
        <v>12700000</v>
      </c>
      <c r="E16" s="23" t="n">
        <f aca="false">SUM(E13:E15)</f>
        <v>15600000</v>
      </c>
      <c r="F16" s="23" t="n">
        <f aca="false">SUM(F13:F15)</f>
        <v>18500000</v>
      </c>
      <c r="G16" s="20" t="n">
        <f aca="false">IF(OR(B16=0,B16&lt;0),"-",(F16-B16)/B16)</f>
        <v>1.72058823529412</v>
      </c>
    </row>
    <row r="18" customFormat="false" ht="15" hidden="false" customHeight="false" outlineLevel="0" collapsed="false">
      <c r="A18" s="22" t="s">
        <v>68</v>
      </c>
      <c r="B18" s="23" t="n">
        <f aca="false">B10-B16</f>
        <v>9700000</v>
      </c>
      <c r="C18" s="23" t="n">
        <f aca="false">C10-C16</f>
        <v>21900000</v>
      </c>
      <c r="D18" s="23" t="n">
        <f aca="false">D10-D16</f>
        <v>37300000</v>
      </c>
      <c r="E18" s="23" t="n">
        <f aca="false">E10-E16</f>
        <v>51400000</v>
      </c>
      <c r="F18" s="23" t="n">
        <f aca="false">F10-F16</f>
        <v>65500000</v>
      </c>
      <c r="G18" s="20" t="n">
        <f aca="false">IF(OR(B18=0,B18&lt;0),"-",(F18-B18)/B18)</f>
        <v>5.75257731958763</v>
      </c>
    </row>
    <row r="19" customFormat="false" ht="15" hidden="false" customHeight="false" outlineLevel="0" collapsed="false">
      <c r="A19" s="12" t="s">
        <v>69</v>
      </c>
      <c r="B19" s="21" t="n">
        <f aca="false">IF(B10=0,0,B18/B10)</f>
        <v>0.587878787878788</v>
      </c>
      <c r="C19" s="21" t="n">
        <f aca="false">IF(C10=0,0,C18/C10)</f>
        <v>0.690851735015773</v>
      </c>
      <c r="D19" s="21" t="n">
        <f aca="false">IF(D10=0,0,D18/D10)</f>
        <v>0.746</v>
      </c>
      <c r="E19" s="21" t="n">
        <f aca="false">IF(E10=0,0,E18/E10)</f>
        <v>0.767164179104478</v>
      </c>
      <c r="F19" s="21" t="n">
        <f aca="false">IF(F10=0,0,F18/F10)</f>
        <v>0.779761904761905</v>
      </c>
      <c r="G19" s="19"/>
    </row>
    <row r="21" customFormat="false" ht="15" hidden="false" customHeight="false" outlineLevel="0" collapsed="false">
      <c r="A21" s="17" t="s">
        <v>70</v>
      </c>
      <c r="B21" s="18"/>
      <c r="C21" s="18"/>
      <c r="D21" s="18"/>
      <c r="E21" s="18"/>
      <c r="F21" s="18"/>
      <c r="G21" s="19"/>
    </row>
    <row r="22" customFormat="false" ht="15" hidden="false" customHeight="false" outlineLevel="0" collapsed="false">
      <c r="A22" s="10" t="s">
        <v>71</v>
      </c>
      <c r="B22" s="11" t="n">
        <v>2000000</v>
      </c>
      <c r="C22" s="11" t="n">
        <v>2800000</v>
      </c>
      <c r="D22" s="11" t="n">
        <v>3200000</v>
      </c>
      <c r="E22" s="11" t="n">
        <v>3600000</v>
      </c>
      <c r="F22" s="11" t="n">
        <v>4000000</v>
      </c>
      <c r="G22" s="20" t="n">
        <f aca="false">IF(OR(B22=0,B22&lt;0),"-",(F22-B22)/B22)</f>
        <v>1</v>
      </c>
    </row>
    <row r="23" customFormat="false" ht="15" hidden="false" customHeight="false" outlineLevel="0" collapsed="false">
      <c r="A23" s="12" t="s">
        <v>72</v>
      </c>
      <c r="B23" s="11" t="n">
        <v>2000000</v>
      </c>
      <c r="C23" s="11" t="n">
        <v>1800000</v>
      </c>
      <c r="D23" s="11" t="n">
        <v>1500000</v>
      </c>
      <c r="E23" s="11" t="n">
        <v>1200000</v>
      </c>
      <c r="F23" s="11" t="n">
        <v>1000000</v>
      </c>
      <c r="G23" s="21" t="n">
        <f aca="false">IF(OR(B23=0,B23&lt;0),"-",(F23-B23)/B23)</f>
        <v>-0.5</v>
      </c>
    </row>
    <row r="24" customFormat="false" ht="15" hidden="false" customHeight="false" outlineLevel="0" collapsed="false">
      <c r="A24" s="10" t="s">
        <v>73</v>
      </c>
      <c r="B24" s="11" t="n">
        <v>1500000</v>
      </c>
      <c r="C24" s="11" t="n">
        <v>1500000</v>
      </c>
      <c r="D24" s="11" t="n">
        <v>2000000</v>
      </c>
      <c r="E24" s="11" t="n">
        <v>2000000</v>
      </c>
      <c r="F24" s="11" t="n">
        <v>2500000</v>
      </c>
      <c r="G24" s="20" t="n">
        <f aca="false">IF(OR(B24=0,B24&lt;0),"-",(F24-B24)/B24)</f>
        <v>0.666666666666667</v>
      </c>
    </row>
    <row r="25" customFormat="false" ht="15" hidden="false" customHeight="false" outlineLevel="0" collapsed="false">
      <c r="A25" s="12" t="s">
        <v>74</v>
      </c>
      <c r="B25" s="11" t="n">
        <v>1200000</v>
      </c>
      <c r="C25" s="11" t="n">
        <v>1400000</v>
      </c>
      <c r="D25" s="11" t="n">
        <v>1600000</v>
      </c>
      <c r="E25" s="11" t="n">
        <v>1800000</v>
      </c>
      <c r="F25" s="11" t="n">
        <v>2000000</v>
      </c>
      <c r="G25" s="21" t="n">
        <f aca="false">IF(OR(B25=0,B25&lt;0),"-",(F25-B25)/B25)</f>
        <v>0.666666666666667</v>
      </c>
    </row>
    <row r="26" customFormat="false" ht="15" hidden="false" customHeight="false" outlineLevel="0" collapsed="false">
      <c r="A26" s="10" t="s">
        <v>75</v>
      </c>
      <c r="B26" s="11" t="n">
        <v>4000000</v>
      </c>
      <c r="C26" s="11" t="n">
        <v>4000000</v>
      </c>
      <c r="D26" s="11" t="n">
        <v>4000000</v>
      </c>
      <c r="E26" s="11" t="n">
        <v>4000000</v>
      </c>
      <c r="F26" s="11" t="n">
        <v>4000000</v>
      </c>
      <c r="G26" s="20" t="n">
        <f aca="false">IF(OR(B26=0,B26&lt;0),"-",(F26-B26)/B26)</f>
        <v>0</v>
      </c>
    </row>
    <row r="27" customFormat="false" ht="15" hidden="false" customHeight="false" outlineLevel="0" collapsed="false">
      <c r="A27" s="22" t="s">
        <v>76</v>
      </c>
      <c r="B27" s="23" t="n">
        <f aca="false">SUM(B22:B26)</f>
        <v>10700000</v>
      </c>
      <c r="C27" s="23" t="n">
        <f aca="false">SUM(C22:C26)</f>
        <v>11500000</v>
      </c>
      <c r="D27" s="23" t="n">
        <f aca="false">SUM(D22:D26)</f>
        <v>12300000</v>
      </c>
      <c r="E27" s="23" t="n">
        <f aca="false">SUM(E22:E26)</f>
        <v>12600000</v>
      </c>
      <c r="F27" s="23" t="n">
        <f aca="false">SUM(F22:F26)</f>
        <v>13500000</v>
      </c>
      <c r="G27" s="21" t="n">
        <f aca="false">IF(OR(B27=0,B27&lt;0),"-",(F27-B27)/B27)</f>
        <v>0.261682242990654</v>
      </c>
    </row>
    <row r="29" customFormat="false" ht="15" hidden="false" customHeight="false" outlineLevel="0" collapsed="false">
      <c r="A29" s="22" t="s">
        <v>77</v>
      </c>
      <c r="B29" s="23" t="n">
        <f aca="false">B18-B27</f>
        <v>-1000000</v>
      </c>
      <c r="C29" s="23" t="n">
        <f aca="false">C18-C27</f>
        <v>10400000</v>
      </c>
      <c r="D29" s="23" t="n">
        <f aca="false">D18-D27</f>
        <v>25000000</v>
      </c>
      <c r="E29" s="23" t="n">
        <f aca="false">E18-E27</f>
        <v>38800000</v>
      </c>
      <c r="F29" s="23" t="n">
        <f aca="false">F18-F27</f>
        <v>52000000</v>
      </c>
      <c r="G29" s="21" t="str">
        <f aca="false">IF(OR(B29=0,B29&lt;0),"-",(F29-B29)/B29)</f>
        <v>-</v>
      </c>
    </row>
    <row r="30" customFormat="false" ht="15" hidden="false" customHeight="false" outlineLevel="0" collapsed="false">
      <c r="A30" s="22" t="s">
        <v>78</v>
      </c>
      <c r="B30" s="23" t="n">
        <f aca="false">B29+B26</f>
        <v>3000000</v>
      </c>
      <c r="C30" s="23" t="n">
        <f aca="false">C29+C26</f>
        <v>14400000</v>
      </c>
      <c r="D30" s="23" t="n">
        <f aca="false">D29+D26</f>
        <v>29000000</v>
      </c>
      <c r="E30" s="23" t="n">
        <f aca="false">E29+E26</f>
        <v>42800000</v>
      </c>
      <c r="F30" s="23" t="n">
        <f aca="false">F29+F26</f>
        <v>56000000</v>
      </c>
      <c r="G30" s="20" t="n">
        <f aca="false">IF(OR(B30=0,B30&lt;0),"-",(F30-B30)/B30)</f>
        <v>17.6666666666667</v>
      </c>
    </row>
    <row r="31" customFormat="false" ht="15" hidden="false" customHeight="false" outlineLevel="0" collapsed="false">
      <c r="A31" s="12" t="s">
        <v>79</v>
      </c>
      <c r="B31" s="21" t="n">
        <f aca="false">IF(B10=0,0,B30/B10)</f>
        <v>0.181818181818182</v>
      </c>
      <c r="C31" s="21" t="n">
        <f aca="false">IF(C10=0,0,C30/C10)</f>
        <v>0.454258675078864</v>
      </c>
      <c r="D31" s="21" t="n">
        <f aca="false">IF(D10=0,0,D30/D10)</f>
        <v>0.58</v>
      </c>
      <c r="E31" s="21" t="n">
        <f aca="false">IF(E10=0,0,E30/E10)</f>
        <v>0.638805970149254</v>
      </c>
      <c r="F31" s="21" t="n">
        <f aca="false">IF(F10=0,0,F30/F10)</f>
        <v>0.666666666666667</v>
      </c>
      <c r="G31" s="19"/>
    </row>
    <row r="33" customFormat="false" ht="15" hidden="false" customHeight="false" outlineLevel="0" collapsed="false">
      <c r="A33" s="12" t="s">
        <v>80</v>
      </c>
      <c r="B33" s="11" t="n">
        <v>1800000</v>
      </c>
      <c r="C33" s="11" t="n">
        <v>1800000</v>
      </c>
      <c r="D33" s="11" t="n">
        <v>1500000</v>
      </c>
      <c r="E33" s="11" t="n">
        <v>1200000</v>
      </c>
      <c r="F33" s="11" t="n">
        <v>1000000</v>
      </c>
      <c r="G33" s="21" t="n">
        <f aca="false">IF(OR(B33=0,B33&lt;0),"-",(F33-B33)/B33)</f>
        <v>-0.444444444444444</v>
      </c>
    </row>
    <row r="34" customFormat="false" ht="15" hidden="false" customHeight="false" outlineLevel="0" collapsed="false">
      <c r="A34" s="22" t="s">
        <v>81</v>
      </c>
      <c r="B34" s="23" t="n">
        <f aca="false">B29-B33</f>
        <v>-2800000</v>
      </c>
      <c r="C34" s="23" t="n">
        <f aca="false">C29-C33</f>
        <v>8600000</v>
      </c>
      <c r="D34" s="23" t="n">
        <f aca="false">D29-D33</f>
        <v>23500000</v>
      </c>
      <c r="E34" s="23" t="n">
        <f aca="false">E29-E33</f>
        <v>37600000</v>
      </c>
      <c r="F34" s="23" t="n">
        <f aca="false">F29-F33</f>
        <v>51000000</v>
      </c>
      <c r="G34" s="20" t="str">
        <f aca="false">IF(OR(B34=0,B34&lt;0),"-",(F34-B34)/B34)</f>
        <v>-</v>
      </c>
    </row>
    <row r="35" customFormat="false" ht="15" hidden="false" customHeight="false" outlineLevel="0" collapsed="false">
      <c r="A35" s="12" t="s">
        <v>82</v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9"/>
    </row>
    <row r="36" customFormat="false" ht="15" hidden="false" customHeight="false" outlineLevel="0" collapsed="false">
      <c r="A36" s="22" t="s">
        <v>83</v>
      </c>
      <c r="B36" s="23" t="n">
        <f aca="false">B34-B35</f>
        <v>-2800000</v>
      </c>
      <c r="C36" s="23" t="n">
        <f aca="false">C34-C35</f>
        <v>8600000</v>
      </c>
      <c r="D36" s="23" t="n">
        <f aca="false">D34-D35</f>
        <v>23500000</v>
      </c>
      <c r="E36" s="23" t="n">
        <f aca="false">E34-E35</f>
        <v>37600000</v>
      </c>
      <c r="F36" s="23" t="n">
        <f aca="false">F34-F35</f>
        <v>51000000</v>
      </c>
      <c r="G36" s="20" t="str">
        <f aca="false">IF(OR(B36=0,B36&lt;0),"-",(F36-B36)/B36)</f>
        <v>-</v>
      </c>
    </row>
    <row r="37" customFormat="false" ht="15" hidden="false" customHeight="false" outlineLevel="0" collapsed="false">
      <c r="A37" s="12" t="s">
        <v>84</v>
      </c>
      <c r="B37" s="21" t="n">
        <f aca="false">IF(B10=0,0,B36/B10)</f>
        <v>-0.16969696969697</v>
      </c>
      <c r="C37" s="21" t="n">
        <f aca="false">IF(C10=0,0,C36/C10)</f>
        <v>0.271293375394322</v>
      </c>
      <c r="D37" s="21" t="n">
        <f aca="false">IF(D10=0,0,D36/D10)</f>
        <v>0.47</v>
      </c>
      <c r="E37" s="21" t="n">
        <f aca="false">IF(E10=0,0,E36/E10)</f>
        <v>0.561194029850746</v>
      </c>
      <c r="F37" s="21" t="n">
        <f aca="false">IF(F10=0,0,F36/F10)</f>
        <v>0.607142857142857</v>
      </c>
      <c r="G37" s="19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2"/>
  </cols>
  <sheetData>
    <row r="1" customFormat="false" ht="37.5" hidden="false" customHeight="true" outlineLevel="0" collapsed="false">
      <c r="A1" s="15" t="s">
        <v>85</v>
      </c>
      <c r="B1" s="15"/>
      <c r="C1" s="15"/>
      <c r="D1" s="15"/>
    </row>
    <row r="2" customFormat="false" ht="15" hidden="false" customHeight="true" outlineLevel="0" collapsed="false">
      <c r="A2" s="8" t="s">
        <v>86</v>
      </c>
      <c r="B2" s="8"/>
      <c r="C2" s="8"/>
      <c r="D2" s="8"/>
    </row>
    <row r="3" customFormat="false" ht="15" hidden="false" customHeight="false" outlineLevel="0" collapsed="false">
      <c r="A3" s="9" t="s">
        <v>87</v>
      </c>
      <c r="B3" s="9" t="s">
        <v>88</v>
      </c>
      <c r="C3" s="9" t="s">
        <v>89</v>
      </c>
      <c r="D3" s="9" t="s">
        <v>90</v>
      </c>
    </row>
    <row r="4" customFormat="false" ht="15" hidden="false" customHeight="false" outlineLevel="0" collapsed="false">
      <c r="A4" s="10" t="s">
        <v>91</v>
      </c>
      <c r="B4" s="11" t="n">
        <v>15000000</v>
      </c>
      <c r="C4" s="11" t="n">
        <v>25000000</v>
      </c>
      <c r="D4" s="24" t="n">
        <f aca="false">(B4+C4)/2</f>
        <v>20000000</v>
      </c>
    </row>
    <row r="5" customFormat="false" ht="15" hidden="false" customHeight="false" outlineLevel="0" collapsed="false">
      <c r="A5" s="12" t="s">
        <v>92</v>
      </c>
      <c r="B5" s="11" t="n">
        <v>40000000</v>
      </c>
      <c r="C5" s="11" t="n">
        <v>60000000</v>
      </c>
      <c r="D5" s="13" t="n">
        <f aca="false">(B5+C5)/2</f>
        <v>50000000</v>
      </c>
    </row>
    <row r="6" customFormat="false" ht="15" hidden="false" customHeight="false" outlineLevel="0" collapsed="false">
      <c r="A6" s="10" t="s">
        <v>93</v>
      </c>
      <c r="B6" s="11" t="n">
        <v>8000000</v>
      </c>
      <c r="C6" s="11" t="n">
        <v>12000000</v>
      </c>
      <c r="D6" s="24" t="n">
        <f aca="false">(B6+C6)/2</f>
        <v>10000000</v>
      </c>
    </row>
    <row r="7" customFormat="false" ht="15" hidden="false" customHeight="false" outlineLevel="0" collapsed="false">
      <c r="A7" s="12" t="s">
        <v>94</v>
      </c>
      <c r="B7" s="11" t="n">
        <v>3000000</v>
      </c>
      <c r="C7" s="11" t="n">
        <v>5000000</v>
      </c>
      <c r="D7" s="13" t="n">
        <f aca="false">(B7+C7)/2</f>
        <v>4000000</v>
      </c>
    </row>
    <row r="8" customFormat="false" ht="15" hidden="false" customHeight="false" outlineLevel="0" collapsed="false">
      <c r="A8" s="10" t="s">
        <v>95</v>
      </c>
      <c r="B8" s="11" t="n">
        <v>2000000</v>
      </c>
      <c r="C8" s="11" t="n">
        <v>4000000</v>
      </c>
      <c r="D8" s="24" t="n">
        <f aca="false">(B8+C8)/2</f>
        <v>3000000</v>
      </c>
    </row>
    <row r="9" customFormat="false" ht="15" hidden="false" customHeight="false" outlineLevel="0" collapsed="false">
      <c r="A9" s="12" t="s">
        <v>96</v>
      </c>
      <c r="B9" s="11" t="n">
        <v>3000000</v>
      </c>
      <c r="C9" s="11" t="n">
        <v>6000000</v>
      </c>
      <c r="D9" s="13" t="n">
        <f aca="false">(B9+C9)/2</f>
        <v>4500000</v>
      </c>
    </row>
    <row r="10" customFormat="false" ht="15" hidden="false" customHeight="false" outlineLevel="0" collapsed="false">
      <c r="A10" s="10" t="s">
        <v>97</v>
      </c>
      <c r="B10" s="11" t="n">
        <v>2000000</v>
      </c>
      <c r="C10" s="11" t="n">
        <v>4000000</v>
      </c>
      <c r="D10" s="24" t="n">
        <f aca="false">(B10+C10)/2</f>
        <v>3000000</v>
      </c>
    </row>
    <row r="11" customFormat="false" ht="15" hidden="false" customHeight="false" outlineLevel="0" collapsed="false">
      <c r="A11" s="12" t="s">
        <v>98</v>
      </c>
      <c r="B11" s="11" t="n">
        <v>5000000</v>
      </c>
      <c r="C11" s="11" t="n">
        <v>8000000</v>
      </c>
      <c r="D11" s="13" t="n">
        <f aca="false">(B11+C11)/2</f>
        <v>6500000</v>
      </c>
    </row>
    <row r="12" customFormat="false" ht="15" hidden="false" customHeight="false" outlineLevel="0" collapsed="false">
      <c r="A12" s="10" t="s">
        <v>99</v>
      </c>
      <c r="B12" s="24" t="n">
        <f aca="false">SUM(B4:B11)*0.1</f>
        <v>7800000</v>
      </c>
      <c r="C12" s="24" t="n">
        <f aca="false">SUM(C4:C11)*0.1</f>
        <v>12400000</v>
      </c>
      <c r="D12" s="24" t="n">
        <f aca="false">(B12+C12)/2</f>
        <v>10100000</v>
      </c>
    </row>
    <row r="13" customFormat="false" ht="15" hidden="false" customHeight="false" outlineLevel="0" collapsed="false">
      <c r="A13" s="22" t="s">
        <v>100</v>
      </c>
      <c r="B13" s="23" t="n">
        <f aca="false">SUM(B4:B12)</f>
        <v>85800000</v>
      </c>
      <c r="C13" s="23" t="n">
        <f aca="false">SUM(C4:C12)</f>
        <v>136400000</v>
      </c>
      <c r="D13" s="23" t="n">
        <f aca="false">SUM(D4:D12)</f>
        <v>111100000</v>
      </c>
    </row>
    <row r="15" customFormat="false" ht="15" hidden="false" customHeight="true" outlineLevel="0" collapsed="false">
      <c r="A15" s="8" t="s">
        <v>101</v>
      </c>
      <c r="B15" s="8"/>
      <c r="C15" s="8"/>
      <c r="D15" s="8"/>
    </row>
    <row r="16" customFormat="false" ht="15" hidden="false" customHeight="false" outlineLevel="0" collapsed="false">
      <c r="A16" s="9" t="s">
        <v>102</v>
      </c>
      <c r="B16" s="9" t="s">
        <v>103</v>
      </c>
      <c r="C16" s="9" t="s">
        <v>104</v>
      </c>
      <c r="D16" s="9" t="s">
        <v>105</v>
      </c>
    </row>
    <row r="17" customFormat="false" ht="15" hidden="false" customHeight="false" outlineLevel="0" collapsed="false">
      <c r="A17" s="12" t="s">
        <v>106</v>
      </c>
      <c r="B17" s="11" t="n">
        <v>30000000</v>
      </c>
      <c r="C17" s="12" t="s">
        <v>107</v>
      </c>
      <c r="D17" s="12" t="s">
        <v>108</v>
      </c>
    </row>
    <row r="18" customFormat="false" ht="15" hidden="false" customHeight="false" outlineLevel="0" collapsed="false">
      <c r="A18" s="10" t="s">
        <v>109</v>
      </c>
      <c r="B18" s="11" t="n">
        <v>15000000</v>
      </c>
      <c r="C18" s="10" t="s">
        <v>110</v>
      </c>
      <c r="D18" s="10" t="s">
        <v>111</v>
      </c>
    </row>
    <row r="19" customFormat="false" ht="15" hidden="false" customHeight="false" outlineLevel="0" collapsed="false">
      <c r="A19" s="12" t="s">
        <v>112</v>
      </c>
      <c r="B19" s="11" t="n">
        <v>35000000</v>
      </c>
      <c r="C19" s="12" t="s">
        <v>113</v>
      </c>
      <c r="D19" s="12" t="s">
        <v>114</v>
      </c>
    </row>
    <row r="20" customFormat="false" ht="15" hidden="false" customHeight="false" outlineLevel="0" collapsed="false">
      <c r="A20" s="10" t="s">
        <v>115</v>
      </c>
      <c r="B20" s="11" t="n">
        <v>10000000</v>
      </c>
      <c r="C20" s="10" t="s">
        <v>116</v>
      </c>
      <c r="D20" s="10" t="s">
        <v>117</v>
      </c>
    </row>
    <row r="21" customFormat="false" ht="15" hidden="false" customHeight="false" outlineLevel="0" collapsed="false">
      <c r="A21" s="12" t="s">
        <v>118</v>
      </c>
      <c r="B21" s="11" t="n">
        <v>10000000</v>
      </c>
      <c r="C21" s="12" t="s">
        <v>116</v>
      </c>
      <c r="D21" s="12" t="s">
        <v>119</v>
      </c>
    </row>
    <row r="22" customFormat="false" ht="15" hidden="false" customHeight="false" outlineLevel="0" collapsed="false">
      <c r="A22" s="22" t="s">
        <v>120</v>
      </c>
      <c r="B22" s="23" t="n">
        <f aca="false">SUM(B17:B21)</f>
        <v>100000000</v>
      </c>
    </row>
  </sheetData>
  <mergeCells count="3">
    <mergeCell ref="A1:D1"/>
    <mergeCell ref="A2:D2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18"/>
  </cols>
  <sheetData>
    <row r="1" customFormat="false" ht="37.5" hidden="false" customHeight="true" outlineLevel="0" collapsed="false">
      <c r="A1" s="15" t="s">
        <v>121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9" t="s">
        <v>48</v>
      </c>
      <c r="B2" s="9" t="s">
        <v>122</v>
      </c>
      <c r="C2" s="9" t="s">
        <v>11</v>
      </c>
      <c r="D2" s="9" t="s">
        <v>123</v>
      </c>
      <c r="E2" s="9" t="s">
        <v>124</v>
      </c>
      <c r="F2" s="9" t="s">
        <v>125</v>
      </c>
    </row>
    <row r="3" customFormat="false" ht="15" hidden="false" customHeight="false" outlineLevel="0" collapsed="false">
      <c r="A3" s="17" t="s">
        <v>126</v>
      </c>
      <c r="B3" s="18"/>
      <c r="C3" s="18"/>
      <c r="D3" s="18"/>
      <c r="E3" s="18"/>
      <c r="F3" s="18"/>
    </row>
    <row r="4" customFormat="false" ht="15" hidden="false" customHeight="false" outlineLevel="0" collapsed="false">
      <c r="A4" s="10" t="s">
        <v>127</v>
      </c>
      <c r="B4" s="11" t="n">
        <v>-1800000</v>
      </c>
      <c r="C4" s="11" t="n">
        <v>3200000</v>
      </c>
      <c r="D4" s="11" t="n">
        <v>9500000</v>
      </c>
      <c r="E4" s="11" t="n">
        <v>16500000</v>
      </c>
      <c r="F4" s="11" t="n">
        <v>22000000</v>
      </c>
    </row>
    <row r="5" customFormat="false" ht="15" hidden="false" customHeight="false" outlineLevel="0" collapsed="false">
      <c r="A5" s="12" t="s">
        <v>128</v>
      </c>
      <c r="B5" s="11" t="n">
        <v>4000000</v>
      </c>
      <c r="C5" s="11" t="n">
        <v>4000000</v>
      </c>
      <c r="D5" s="11" t="n">
        <v>4000000</v>
      </c>
      <c r="E5" s="11" t="n">
        <v>4000000</v>
      </c>
      <c r="F5" s="11" t="n">
        <v>4000000</v>
      </c>
    </row>
    <row r="6" customFormat="false" ht="15" hidden="false" customHeight="false" outlineLevel="0" collapsed="false">
      <c r="A6" s="10" t="s">
        <v>129</v>
      </c>
      <c r="B6" s="11" t="n">
        <v>-500000</v>
      </c>
      <c r="C6" s="11" t="n">
        <v>-300000</v>
      </c>
      <c r="D6" s="11" t="n">
        <v>-200000</v>
      </c>
      <c r="E6" s="11" t="n">
        <v>-100000</v>
      </c>
      <c r="F6" s="11" t="n">
        <v>-100000</v>
      </c>
    </row>
    <row r="7" customFormat="false" ht="15" hidden="false" customHeight="false" outlineLevel="0" collapsed="false">
      <c r="A7" s="22" t="s">
        <v>130</v>
      </c>
      <c r="B7" s="23" t="n">
        <f aca="false">SUM(B4:B6)</f>
        <v>1700000</v>
      </c>
      <c r="C7" s="23" t="n">
        <f aca="false">SUM(C4:C6)</f>
        <v>6900000</v>
      </c>
      <c r="D7" s="23" t="n">
        <f aca="false">SUM(D4:D6)</f>
        <v>13300000</v>
      </c>
      <c r="E7" s="23" t="n">
        <f aca="false">SUM(E4:E6)</f>
        <v>20400000</v>
      </c>
      <c r="F7" s="23" t="n">
        <f aca="false">SUM(F4:F6)</f>
        <v>25900000</v>
      </c>
    </row>
    <row r="9" customFormat="false" ht="15" hidden="false" customHeight="false" outlineLevel="0" collapsed="false">
      <c r="A9" s="17" t="s">
        <v>131</v>
      </c>
      <c r="B9" s="18"/>
      <c r="C9" s="18"/>
      <c r="D9" s="18"/>
      <c r="E9" s="18"/>
      <c r="F9" s="18"/>
    </row>
    <row r="10" customFormat="false" ht="15" hidden="false" customHeight="false" outlineLevel="0" collapsed="false">
      <c r="A10" s="10" t="s">
        <v>132</v>
      </c>
      <c r="B10" s="11" t="n">
        <v>-94000000</v>
      </c>
      <c r="C10" s="11" t="n">
        <v>-2000000</v>
      </c>
      <c r="D10" s="11" t="n">
        <v>-1500000</v>
      </c>
      <c r="E10" s="11" t="n">
        <v>-1500000</v>
      </c>
      <c r="F10" s="11" t="n">
        <v>-1000000</v>
      </c>
    </row>
    <row r="11" customFormat="false" ht="15" hidden="false" customHeight="false" outlineLevel="0" collapsed="false">
      <c r="A11" s="22" t="s">
        <v>133</v>
      </c>
      <c r="B11" s="23" t="n">
        <f aca="false">SUM(B10:B10)</f>
        <v>-94000000</v>
      </c>
      <c r="C11" s="23" t="n">
        <f aca="false">SUM(C10:C10)</f>
        <v>-2000000</v>
      </c>
      <c r="D11" s="23" t="n">
        <f aca="false">SUM(D10:D10)</f>
        <v>-1500000</v>
      </c>
      <c r="E11" s="23" t="n">
        <f aca="false">SUM(E10:E10)</f>
        <v>-1500000</v>
      </c>
      <c r="F11" s="23" t="n">
        <f aca="false">SUM(F10:F10)</f>
        <v>-1000000</v>
      </c>
    </row>
    <row r="13" customFormat="false" ht="15" hidden="false" customHeight="false" outlineLevel="0" collapsed="false">
      <c r="A13" s="17" t="s">
        <v>134</v>
      </c>
      <c r="B13" s="18"/>
      <c r="C13" s="18"/>
      <c r="D13" s="18"/>
      <c r="E13" s="18"/>
      <c r="F13" s="18"/>
    </row>
    <row r="14" customFormat="false" ht="15" hidden="false" customHeight="false" outlineLevel="0" collapsed="false">
      <c r="A14" s="10" t="s">
        <v>135</v>
      </c>
      <c r="B14" s="11" t="n">
        <v>55000000</v>
      </c>
      <c r="C14" s="11" t="n">
        <v>0</v>
      </c>
      <c r="D14" s="11" t="n">
        <v>0</v>
      </c>
      <c r="E14" s="11" t="n">
        <v>0</v>
      </c>
      <c r="F14" s="11" t="n">
        <v>0</v>
      </c>
    </row>
    <row r="15" customFormat="false" ht="15" hidden="false" customHeight="false" outlineLevel="0" collapsed="false">
      <c r="A15" s="12" t="s">
        <v>136</v>
      </c>
      <c r="B15" s="11" t="n">
        <v>35000000</v>
      </c>
      <c r="C15" s="11" t="n">
        <v>0</v>
      </c>
      <c r="D15" s="11" t="n">
        <v>0</v>
      </c>
      <c r="E15" s="11" t="n">
        <v>0</v>
      </c>
      <c r="F15" s="11" t="n">
        <v>0</v>
      </c>
    </row>
    <row r="16" customFormat="false" ht="15" hidden="false" customHeight="false" outlineLevel="0" collapsed="false">
      <c r="A16" s="10" t="s">
        <v>137</v>
      </c>
      <c r="B16" s="11" t="n">
        <v>0</v>
      </c>
      <c r="C16" s="11" t="n">
        <v>-5000000</v>
      </c>
      <c r="D16" s="11" t="n">
        <v>-5000000</v>
      </c>
      <c r="E16" s="11" t="n">
        <v>-5000000</v>
      </c>
      <c r="F16" s="11" t="n">
        <v>-5000000</v>
      </c>
    </row>
    <row r="17" customFormat="false" ht="15" hidden="false" customHeight="false" outlineLevel="0" collapsed="false">
      <c r="A17" s="22" t="s">
        <v>138</v>
      </c>
      <c r="B17" s="23" t="n">
        <f aca="false">SUM(B14:B16)</f>
        <v>90000000</v>
      </c>
      <c r="C17" s="23" t="n">
        <f aca="false">SUM(C14:C16)</f>
        <v>-5000000</v>
      </c>
      <c r="D17" s="23" t="n">
        <f aca="false">SUM(D14:D16)</f>
        <v>-5000000</v>
      </c>
      <c r="E17" s="23" t="n">
        <f aca="false">SUM(E14:E16)</f>
        <v>-5000000</v>
      </c>
      <c r="F17" s="23" t="n">
        <f aca="false">SUM(F14:F16)</f>
        <v>-5000000</v>
      </c>
    </row>
    <row r="19" customFormat="false" ht="15" hidden="false" customHeight="false" outlineLevel="0" collapsed="false">
      <c r="A19" s="22" t="s">
        <v>139</v>
      </c>
      <c r="B19" s="23" t="n">
        <f aca="false">B7+B11+B17</f>
        <v>-2300000</v>
      </c>
      <c r="C19" s="23" t="n">
        <f aca="false">C7+C11+C17</f>
        <v>-100000</v>
      </c>
      <c r="D19" s="23" t="n">
        <f aca="false">D7+D11+D17</f>
        <v>6800000</v>
      </c>
      <c r="E19" s="23" t="n">
        <f aca="false">E7+E11+E17</f>
        <v>13900000</v>
      </c>
      <c r="F19" s="23" t="n">
        <f aca="false">F7+F11+F17</f>
        <v>19900000</v>
      </c>
    </row>
    <row r="20" customFormat="false" ht="15" hidden="false" customHeight="false" outlineLevel="0" collapsed="false">
      <c r="A20" s="10" t="s">
        <v>140</v>
      </c>
      <c r="B20" s="11" t="n">
        <v>0</v>
      </c>
      <c r="C20" s="24" t="n">
        <f aca="false">B21</f>
        <v>-2300000</v>
      </c>
      <c r="D20" s="24" t="n">
        <f aca="false">C21</f>
        <v>-2400000</v>
      </c>
      <c r="E20" s="24" t="n">
        <f aca="false">D21</f>
        <v>4400000</v>
      </c>
      <c r="F20" s="24" t="n">
        <f aca="false">E21</f>
        <v>18300000</v>
      </c>
    </row>
    <row r="21" customFormat="false" ht="15" hidden="false" customHeight="false" outlineLevel="0" collapsed="false">
      <c r="A21" s="22" t="s">
        <v>141</v>
      </c>
      <c r="B21" s="23" t="n">
        <f aca="false">B19+B20</f>
        <v>-2300000</v>
      </c>
      <c r="C21" s="23" t="n">
        <f aca="false">C19+C20</f>
        <v>-2400000</v>
      </c>
      <c r="D21" s="23" t="n">
        <f aca="false">D19+D20</f>
        <v>4400000</v>
      </c>
      <c r="E21" s="23" t="n">
        <f aca="false">E19+E20</f>
        <v>18300000</v>
      </c>
      <c r="F21" s="23" t="n">
        <f aca="false">F19+F20</f>
        <v>38200000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4"/>
  </cols>
  <sheetData>
    <row r="1" customFormat="false" ht="17.15" hidden="false" customHeight="true" outlineLevel="0" collapsed="false">
      <c r="A1" s="15" t="s">
        <v>142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23.85" hidden="false" customHeight="false" outlineLevel="0" collapsed="false">
      <c r="A3" s="16"/>
      <c r="B3" s="9" t="s">
        <v>122</v>
      </c>
      <c r="C3" s="9" t="s">
        <v>11</v>
      </c>
      <c r="D3" s="9" t="s">
        <v>123</v>
      </c>
      <c r="E3" s="9" t="s">
        <v>124</v>
      </c>
      <c r="F3" s="9" t="s">
        <v>125</v>
      </c>
      <c r="H3" s="9" t="s">
        <v>143</v>
      </c>
      <c r="I3" s="9" t="s">
        <v>122</v>
      </c>
      <c r="J3" s="9" t="s">
        <v>11</v>
      </c>
      <c r="K3" s="9" t="s">
        <v>123</v>
      </c>
      <c r="L3" s="9" t="s">
        <v>124</v>
      </c>
      <c r="M3" s="9" t="s">
        <v>125</v>
      </c>
    </row>
    <row r="4" customFormat="false" ht="23.85" hidden="false" customHeight="false" outlineLevel="0" collapsed="false">
      <c r="A4" s="25" t="s">
        <v>144</v>
      </c>
      <c r="B4" s="26" t="n">
        <v>16.3</v>
      </c>
      <c r="C4" s="26" t="n">
        <v>31.2</v>
      </c>
      <c r="D4" s="26" t="n">
        <v>49</v>
      </c>
      <c r="E4" s="26" t="n">
        <v>67</v>
      </c>
      <c r="F4" s="26" t="n">
        <v>85</v>
      </c>
      <c r="H4" s="26" t="s">
        <v>145</v>
      </c>
      <c r="I4" s="26" t="n">
        <v>80</v>
      </c>
      <c r="J4" s="26" t="n">
        <v>145</v>
      </c>
      <c r="K4" s="26" t="n">
        <v>215</v>
      </c>
      <c r="L4" s="26" t="n">
        <v>260</v>
      </c>
      <c r="M4" s="26" t="n">
        <v>260</v>
      </c>
    </row>
    <row r="5" customFormat="false" ht="23.85" hidden="false" customHeight="false" outlineLevel="0" collapsed="false">
      <c r="A5" s="27" t="s">
        <v>146</v>
      </c>
      <c r="B5" s="28" t="n">
        <v>1.8</v>
      </c>
      <c r="C5" s="28" t="n">
        <v>9.2</v>
      </c>
      <c r="D5" s="28" t="n">
        <v>20</v>
      </c>
      <c r="E5" s="28" t="n">
        <v>31</v>
      </c>
      <c r="F5" s="28" t="n">
        <v>43</v>
      </c>
      <c r="H5" s="28" t="s">
        <v>147</v>
      </c>
      <c r="I5" s="28" t="n">
        <v>200</v>
      </c>
      <c r="J5" s="28" t="n">
        <v>450</v>
      </c>
      <c r="K5" s="28" t="n">
        <v>750</v>
      </c>
      <c r="L5" s="28" t="n">
        <v>1000</v>
      </c>
      <c r="M5" s="28" t="n">
        <v>1200</v>
      </c>
    </row>
    <row r="6" customFormat="false" ht="15" hidden="false" customHeight="false" outlineLevel="0" collapsed="false">
      <c r="A6" s="25" t="s">
        <v>148</v>
      </c>
      <c r="B6" s="26" t="n">
        <v>-1.8</v>
      </c>
      <c r="C6" s="26" t="n">
        <v>3.2</v>
      </c>
      <c r="D6" s="26" t="n">
        <v>9.5</v>
      </c>
      <c r="E6" s="26" t="n">
        <v>16.5</v>
      </c>
      <c r="F6" s="26" t="n">
        <v>22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2026-06-29T06:01:45Z</dcterms:created>
  <dc:creator>openpyxl</dc:creator>
  <dc:description/>
  <dc:language>en-US</dc:language>
  <cp:lastModifiedBy/>
  <dcterms:modified xsi:type="dcterms:W3CDTF">2026-06-29T06:01:52Z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